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WhatsApp Confirmado" sheetId="2" state="visible" r:id="rId2"/>
    <sheet xmlns:r="http://schemas.openxmlformats.org/officeDocument/2006/relationships" name="Outros Cont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2C3E50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0066CC"/>
      <sz val="11"/>
      <u val="single"/>
    </font>
    <font>
      <name val="Calibri"/>
      <sz val="11"/>
    </font>
    <font>
      <name val="Calibri"/>
      <b val="1"/>
      <color rgb="007F8C8D"/>
      <sz val="10"/>
    </font>
    <font>
      <name val="Calibri"/>
      <b val="1"/>
      <color rgb="001A252F"/>
      <sz val="2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dos Contatos</a:t>
            </a:r>
          </a:p>
        </rich>
      </tx>
    </title>
    <plotArea>
      <pieChart>
        <varyColors val="1"/>
        <ser>
          <idx val="0"/>
          <order val="0"/>
          <tx>
            <strRef>
              <f>'Resumo Geral'!C9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Geral'!$B$10:$B$11</f>
            </numRef>
          </cat>
          <val>
            <numRef>
              <f>'Resumo Geral'!$C$10:$C$11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3" customWidth="1" min="5" max="5"/>
    <col width="12" customWidth="1" min="6" max="6"/>
    <col width="12" customWidth="1" min="7" max="7"/>
    <col width="29" customWidth="1" min="8" max="8"/>
    <col width="12" customWidth="1" min="9" max="9"/>
    <col width="12" customWidth="1" min="10" max="10"/>
  </cols>
  <sheetData>
    <row r="1">
      <c r="A1" s="1" t="inlineStr">
        <is>
          <t>Painel de Prospecção — Marcenarias &amp; Móveis Planejados</t>
        </is>
      </c>
    </row>
    <row r="2">
      <c r="A2" s="2" t="inlineStr">
        <is>
          <t>Uberlândia/MG · Mapeamento Comercial para Vendas</t>
        </is>
      </c>
    </row>
    <row r="3"/>
    <row r="4">
      <c r="B4" s="3" t="inlineStr">
        <is>
          <t>Total de Empresas Mapeadas</t>
        </is>
      </c>
      <c r="C4" s="4" t="n"/>
      <c r="D4" s="4" t="n"/>
      <c r="E4" s="5" t="inlineStr">
        <is>
          <t>Com WhatsApp Directo</t>
        </is>
      </c>
      <c r="F4" s="6" t="n"/>
      <c r="G4" s="6" t="n"/>
      <c r="H4" s="3" t="inlineStr">
        <is>
          <t>Telefone Fixo / A Validar</t>
        </is>
      </c>
      <c r="I4" s="4" t="n"/>
      <c r="J4" s="4" t="n"/>
    </row>
    <row r="5">
      <c r="B5" s="7">
        <f>COUNTA('WhatsApp Confirmado'!B5:B15) + COUNTA('Outros Contatos'!B5:B17)</f>
        <v/>
      </c>
      <c r="C5" s="4" t="n"/>
      <c r="D5" s="4" t="n"/>
      <c r="E5" s="8">
        <f>COUNTA('WhatsApp Confirmado'!B5:B15)</f>
        <v/>
      </c>
      <c r="F5" s="6" t="n"/>
      <c r="G5" s="6" t="n"/>
      <c r="H5" s="7">
        <f>COUNTA('Outros Contatos'!B5:B17)</f>
        <v/>
      </c>
      <c r="I5" s="4" t="n"/>
      <c r="J5" s="4" t="n"/>
    </row>
    <row r="6">
      <c r="B6" s="4" t="n"/>
      <c r="C6" s="4" t="n"/>
      <c r="D6" s="4" t="n"/>
      <c r="E6" s="6" t="n"/>
      <c r="F6" s="6" t="n"/>
      <c r="G6" s="6" t="n"/>
      <c r="H6" s="4" t="n"/>
      <c r="I6" s="4" t="n"/>
      <c r="J6" s="4" t="n"/>
    </row>
    <row r="7"/>
    <row r="8"/>
    <row r="9">
      <c r="B9" s="9" t="inlineStr">
        <is>
          <t>Categoria de Contato</t>
        </is>
      </c>
      <c r="C9" s="9" t="inlineStr">
        <is>
          <t>Quantidade</t>
        </is>
      </c>
      <c r="D9" s="9" t="inlineStr">
        <is>
          <t>Percentual</t>
        </is>
      </c>
    </row>
    <row r="10">
      <c r="B10" s="10" t="inlineStr">
        <is>
          <t>WhatsApp Confirmado</t>
        </is>
      </c>
      <c r="C10" s="11">
        <f>COUNTA('WhatsApp Confirmado'!B5:B15)</f>
        <v/>
      </c>
      <c r="D10" s="12">
        <f>C10/C12</f>
        <v/>
      </c>
    </row>
    <row r="11">
      <c r="B11" s="10" t="inlineStr">
        <is>
          <t>Outros / Fixo / A Pesquisar</t>
        </is>
      </c>
      <c r="C11" s="11">
        <f>COUNTA('Outros Contatos'!B5:B17)</f>
        <v/>
      </c>
      <c r="D11" s="12">
        <f>C11/C12</f>
        <v/>
      </c>
    </row>
    <row r="12">
      <c r="B12" s="13" t="inlineStr">
        <is>
          <t>Total</t>
        </is>
      </c>
      <c r="C12" s="14">
        <f>SUM(C10:C11)</f>
        <v/>
      </c>
      <c r="D12" s="15">
        <f>SUM(D10:D11)</f>
        <v/>
      </c>
    </row>
  </sheetData>
  <mergeCells count="6">
    <mergeCell ref="B5:D6"/>
    <mergeCell ref="E5:G6"/>
    <mergeCell ref="B4:D4"/>
    <mergeCell ref="H4:J4"/>
    <mergeCell ref="H5:J6"/>
    <mergeCell ref="E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22" customWidth="1" min="4" max="4"/>
    <col width="45" customWidth="1" min="5" max="5"/>
    <col width="22" customWidth="1" min="6" max="6"/>
    <col width="30" customWidth="1" min="7" max="7"/>
  </cols>
  <sheetData>
    <row r="1">
      <c r="A1" s="1" t="inlineStr">
        <is>
          <t>Prospecção de Marcenarias — WhatsApp Confirmado</t>
        </is>
      </c>
    </row>
    <row r="2">
      <c r="A2" s="2" t="inlineStr">
        <is>
          <t>Empresas com número de WhatsApp ativo para contato direto</t>
        </is>
      </c>
    </row>
    <row r="3"/>
    <row r="4" ht="25" customHeight="1">
      <c r="A4" s="9" t="inlineStr">
        <is>
          <t>ID</t>
        </is>
      </c>
      <c r="B4" s="9" t="inlineStr">
        <is>
          <t>Empresa</t>
        </is>
      </c>
      <c r="C4" s="9" t="inlineStr">
        <is>
          <t>Telefone</t>
        </is>
      </c>
      <c r="D4" s="9" t="inlineStr">
        <is>
          <t>Link WhatsApp Web</t>
        </is>
      </c>
      <c r="E4" s="9" t="inlineStr">
        <is>
          <t>Site / Observações</t>
        </is>
      </c>
      <c r="F4" s="9" t="inlineStr">
        <is>
          <t>Status Prospecção</t>
        </is>
      </c>
      <c r="G4" s="9" t="inlineStr">
        <is>
          <t>Anotações / Retorno</t>
        </is>
      </c>
    </row>
    <row r="5" ht="20" customHeight="1">
      <c r="A5" s="11" t="n">
        <v>1</v>
      </c>
      <c r="B5" s="16" t="inlineStr">
        <is>
          <t>Versalle Móveis Planejados</t>
        </is>
      </c>
      <c r="C5" s="11" t="inlineStr">
        <is>
          <t>(34) 9 9882-2755</t>
        </is>
      </c>
      <c r="D5" s="17">
        <f>HYPERLINK("https://wa.me/5534998822755", "Abrir WhatsApp")</f>
        <v/>
      </c>
      <c r="E5" s="16" t="inlineStr">
        <is>
          <t>Desde 1987</t>
        </is>
      </c>
      <c r="F5" s="18" t="inlineStr">
        <is>
          <t>Não Contatado</t>
        </is>
      </c>
      <c r="G5" s="10" t="inlineStr"/>
    </row>
    <row r="6" ht="20" customHeight="1">
      <c r="A6" s="19" t="n">
        <v>2</v>
      </c>
      <c r="B6" s="20" t="inlineStr">
        <is>
          <t>MJ Móveis Planejados e Marcenaria</t>
        </is>
      </c>
      <c r="C6" s="19" t="inlineStr">
        <is>
          <t>(34) 99119-0811</t>
        </is>
      </c>
      <c r="D6" s="21">
        <f>HYPERLINK("https://wa.me/5534991190811", "Abrir WhatsApp")</f>
        <v/>
      </c>
      <c r="E6" s="20" t="inlineStr">
        <is>
          <t>mjplanejados.com.br</t>
        </is>
      </c>
      <c r="F6" s="22" t="inlineStr">
        <is>
          <t>Não Contatado</t>
        </is>
      </c>
      <c r="G6" s="23" t="inlineStr"/>
    </row>
    <row r="7" ht="20" customHeight="1">
      <c r="A7" s="11" t="n">
        <v>3</v>
      </c>
      <c r="B7" s="16" t="inlineStr">
        <is>
          <t>Marcenaria &amp; Móveis Vilela</t>
        </is>
      </c>
      <c r="C7" s="11" t="inlineStr">
        <is>
          <t>(34) 99660-3932</t>
        </is>
      </c>
      <c r="D7" s="17">
        <f>HYPERLINK("https://wa.me/5534996603932", "Abrir WhatsApp")</f>
        <v/>
      </c>
      <c r="E7" s="16" t="inlineStr">
        <is>
          <t>—</t>
        </is>
      </c>
      <c r="F7" s="18" t="inlineStr">
        <is>
          <t>Não Contatado</t>
        </is>
      </c>
      <c r="G7" s="10" t="inlineStr"/>
    </row>
    <row r="8" ht="20" customHeight="1">
      <c r="A8" s="19" t="n">
        <v>4</v>
      </c>
      <c r="B8" s="20" t="inlineStr">
        <is>
          <t>Carvalho Móveis Planejados</t>
        </is>
      </c>
      <c r="C8" s="19" t="inlineStr">
        <is>
          <t>(34) 99693-1086</t>
        </is>
      </c>
      <c r="D8" s="21">
        <f>HYPERLINK("https://wa.me/5534996931086", "Abrir WhatsApp")</f>
        <v/>
      </c>
      <c r="E8" s="20" t="inlineStr">
        <is>
          <t>carvalhomoveisplanejados.udi.br</t>
        </is>
      </c>
      <c r="F8" s="22" t="inlineStr">
        <is>
          <t>Não Contatado</t>
        </is>
      </c>
      <c r="G8" s="23" t="inlineStr"/>
    </row>
    <row r="9" ht="20" customHeight="1">
      <c r="A9" s="11" t="n">
        <v>5</v>
      </c>
      <c r="B9" s="16" t="inlineStr">
        <is>
          <t>Móveis Planejados Uberlândia (Marcelo)</t>
        </is>
      </c>
      <c r="C9" s="11" t="inlineStr">
        <is>
          <t>(34) 99764-5757</t>
        </is>
      </c>
      <c r="D9" s="17">
        <f>HYPERLINK("https://wa.me/5534997645757", "Abrir WhatsApp")</f>
        <v/>
      </c>
      <c r="E9" s="16" t="inlineStr">
        <is>
          <t>moveisplanejadosuberlandia.com.br</t>
        </is>
      </c>
      <c r="F9" s="18" t="inlineStr">
        <is>
          <t>Não Contatado</t>
        </is>
      </c>
      <c r="G9" s="10" t="inlineStr"/>
    </row>
    <row r="10" ht="20" customHeight="1">
      <c r="A10" s="19" t="n">
        <v>6</v>
      </c>
      <c r="B10" s="20" t="inlineStr">
        <is>
          <t>FS Marcenaria</t>
        </is>
      </c>
      <c r="C10" s="19" t="inlineStr">
        <is>
          <t>(34) 99671-4744</t>
        </is>
      </c>
      <c r="D10" s="21">
        <f>HYPERLINK("https://wa.me/5534996714744", "Abrir WhatsApp")</f>
        <v/>
      </c>
      <c r="E10" s="20" t="inlineStr">
        <is>
          <t>fsmarcenaria.com.br · Bairro Tubalina</t>
        </is>
      </c>
      <c r="F10" s="22" t="inlineStr">
        <is>
          <t>Não Contatado</t>
        </is>
      </c>
      <c r="G10" s="23" t="inlineStr"/>
    </row>
    <row r="11" ht="20" customHeight="1">
      <c r="A11" s="11" t="n">
        <v>7</v>
      </c>
      <c r="B11" s="16" t="inlineStr">
        <is>
          <t>RI Marcenaria</t>
        </is>
      </c>
      <c r="C11" s="11" t="inlineStr">
        <is>
          <t>(34) 98862-2051</t>
        </is>
      </c>
      <c r="D11" s="17">
        <f>HYPERLINK("https://wa.me/5534988622051", "Abrir WhatsApp")</f>
        <v/>
      </c>
      <c r="E11" s="16" t="inlineStr">
        <is>
          <t>Bairro Jardim Canaã</t>
        </is>
      </c>
      <c r="F11" s="18" t="inlineStr">
        <is>
          <t>Não Contatado</t>
        </is>
      </c>
      <c r="G11" s="10" t="inlineStr"/>
    </row>
    <row r="12" ht="20" customHeight="1">
      <c r="A12" s="19" t="n">
        <v>8</v>
      </c>
      <c r="B12" s="20" t="inlineStr">
        <is>
          <t>All Premium Ambientes Planejados</t>
        </is>
      </c>
      <c r="C12" s="19" t="inlineStr">
        <is>
          <t>(34) 99207-8179</t>
        </is>
      </c>
      <c r="D12" s="21">
        <f>HYPERLINK("https://wa.me/5534992078179", "Abrir WhatsApp")</f>
        <v/>
      </c>
      <c r="E12" s="20" t="inlineStr">
        <is>
          <t>Bairro Granada</t>
        </is>
      </c>
      <c r="F12" s="22" t="inlineStr">
        <is>
          <t>Não Contatado</t>
        </is>
      </c>
      <c r="G12" s="23" t="inlineStr"/>
    </row>
    <row r="13" ht="20" customHeight="1">
      <c r="A13" s="11" t="n">
        <v>9</v>
      </c>
      <c r="B13" s="16" t="inlineStr">
        <is>
          <t>All Mais - Ambientes Planejados</t>
        </is>
      </c>
      <c r="C13" s="11" t="inlineStr">
        <is>
          <t>(34) 99195-2744</t>
        </is>
      </c>
      <c r="D13" s="17">
        <f>HYPERLINK("https://wa.me/5534991952744", "Abrir WhatsApp")</f>
        <v/>
      </c>
      <c r="E13" s="16" t="inlineStr">
        <is>
          <t>Fixo alternativo: (34) 3217-7059</t>
        </is>
      </c>
      <c r="F13" s="18" t="inlineStr">
        <is>
          <t>Não Contatado</t>
        </is>
      </c>
      <c r="G13" s="10" t="inlineStr"/>
    </row>
    <row r="14" ht="20" customHeight="1">
      <c r="A14" s="19" t="n">
        <v>10</v>
      </c>
      <c r="B14" s="20" t="inlineStr">
        <is>
          <t>Marcenaria do Jaime</t>
        </is>
      </c>
      <c r="C14" s="19" t="inlineStr">
        <is>
          <t>(34) 98814-5594</t>
        </is>
      </c>
      <c r="D14" s="21">
        <f>HYPERLINK("https://wa.me/5534988145594", "Abrir WhatsApp")</f>
        <v/>
      </c>
      <c r="E14" s="20" t="inlineStr">
        <is>
          <t>marcenariadojaime.com.br · Av. Afonso Pena</t>
        </is>
      </c>
      <c r="F14" s="22" t="inlineStr">
        <is>
          <t>Não Contatado</t>
        </is>
      </c>
      <c r="G14" s="23" t="inlineStr"/>
    </row>
    <row r="15" ht="20" customHeight="1">
      <c r="A15" s="11" t="n">
        <v>11</v>
      </c>
      <c r="B15" s="16" t="inlineStr">
        <is>
          <t>Pontual Móveis Planejados</t>
        </is>
      </c>
      <c r="C15" s="11" t="inlineStr">
        <is>
          <t>(34) 99969-1106</t>
        </is>
      </c>
      <c r="D15" s="17">
        <f>HYPERLINK("https://wa.me/5534999691106", "Abrir WhatsApp")</f>
        <v/>
      </c>
      <c r="E15" s="16" t="inlineStr">
        <is>
          <t>Projetos em 3D</t>
        </is>
      </c>
      <c r="F15" s="18" t="inlineStr">
        <is>
          <t>Não Contatado</t>
        </is>
      </c>
      <c r="G15" s="10" t="inlineStr"/>
    </row>
  </sheetData>
  <dataValidations count="1">
    <dataValidation sqref="E5 E6 E7 E8 E9 E10 E11 E12 E13 E14 E15 E16 E17 F5 F6 F7 F8 F9 F10 F11 F12 F13 F14 F15" showDropDown="0" showInputMessage="0" showErrorMessage="0" allowBlank="1" type="list">
      <formula1>"Não Contatado, Mensagem Enviada, Em Negociação, Reunião Agendada, Sem Interesse, Fechado"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50" customWidth="1" min="4" max="4"/>
    <col width="22" customWidth="1" min="5" max="5"/>
    <col width="30" customWidth="1" min="6" max="6"/>
  </cols>
  <sheetData>
    <row r="1">
      <c r="A1" s="1" t="inlineStr">
        <is>
          <t>Prospecção de Marcenarias — Outros Contatos &amp; A Confirmar</t>
        </is>
      </c>
    </row>
    <row r="2">
      <c r="A2" s="2" t="inlineStr">
        <is>
          <t>Empresas sem WhatsApp direto verificado (Linha Fixa, Site ou Endereço)</t>
        </is>
      </c>
    </row>
    <row r="3"/>
    <row r="4" ht="25" customHeight="1">
      <c r="A4" s="9" t="inlineStr">
        <is>
          <t>ID</t>
        </is>
      </c>
      <c r="B4" s="9" t="inlineStr">
        <is>
          <t>Empresa</t>
        </is>
      </c>
      <c r="C4" s="9" t="inlineStr">
        <is>
          <t>Contato Encontrado</t>
        </is>
      </c>
      <c r="D4" s="9" t="inlineStr">
        <is>
          <t>Site / Endereço / Observações</t>
        </is>
      </c>
      <c r="E4" s="9" t="inlineStr">
        <is>
          <t>Status Prospecção</t>
        </is>
      </c>
      <c r="F4" s="9" t="inlineStr">
        <is>
          <t>Anotações / Pesquisa</t>
        </is>
      </c>
    </row>
    <row r="5" ht="20" customHeight="1">
      <c r="A5" s="11" t="n">
        <v>1</v>
      </c>
      <c r="B5" s="16" t="inlineStr">
        <is>
          <t>Marcenaria Ideale Ambientes Planejados</t>
        </is>
      </c>
      <c r="C5" s="11" t="inlineStr">
        <is>
          <t>(34) 3216-7408 (fixo)</t>
        </is>
      </c>
      <c r="D5" s="16" t="inlineStr">
        <is>
          <t>Rua Rio Grande do Norte, 1417</t>
        </is>
      </c>
      <c r="E5" s="18" t="inlineStr">
        <is>
          <t>Não Contatado</t>
        </is>
      </c>
      <c r="F5" s="10" t="inlineStr"/>
    </row>
    <row r="6" ht="20" customHeight="1">
      <c r="A6" s="19" t="n">
        <v>2</v>
      </c>
      <c r="B6" s="20" t="inlineStr">
        <is>
          <t>Marcenaria Lamoplan</t>
        </is>
      </c>
      <c r="C6" s="19" t="inlineStr">
        <is>
          <t>Não localizado nas buscas</t>
        </is>
      </c>
      <c r="D6" s="20" t="inlineStr">
        <is>
          <t>lamoplan.com.br · Av. Paulo Firmino, 651 - Jd. Holanda</t>
        </is>
      </c>
      <c r="E6" s="22" t="inlineStr">
        <is>
          <t>Não Contatado</t>
        </is>
      </c>
      <c r="F6" s="23" t="inlineStr"/>
    </row>
    <row r="7" ht="20" customHeight="1">
      <c r="A7" s="11" t="n">
        <v>3</v>
      </c>
      <c r="B7" s="16" t="inlineStr">
        <is>
          <t>LGL Marcenaria</t>
        </is>
      </c>
      <c r="C7" s="11" t="inlineStr">
        <is>
          <t>Não localizado nas buscas</t>
        </is>
      </c>
      <c r="D7" s="16" t="inlineStr">
        <is>
          <t>lglmarcenaria.com.br</t>
        </is>
      </c>
      <c r="E7" s="18" t="inlineStr">
        <is>
          <t>Não Contatado</t>
        </is>
      </c>
      <c r="F7" s="10" t="inlineStr"/>
    </row>
    <row r="8" ht="20" customHeight="1">
      <c r="A8" s="19" t="n">
        <v>4</v>
      </c>
      <c r="B8" s="20" t="inlineStr">
        <is>
          <t>Five Elementos Móveis Planejados</t>
        </is>
      </c>
      <c r="C8" s="19" t="inlineStr">
        <is>
          <t>(34) 99636-XXXX (incompleto)</t>
        </is>
      </c>
      <c r="D8" s="20" t="inlineStr">
        <is>
          <t>facebook.com/fiveelementosmoveis — confirmar número completo</t>
        </is>
      </c>
      <c r="E8" s="22" t="inlineStr">
        <is>
          <t>Não Contatado</t>
        </is>
      </c>
      <c r="F8" s="23" t="inlineStr"/>
    </row>
    <row r="9" ht="20" customHeight="1">
      <c r="A9" s="11" t="n">
        <v>5</v>
      </c>
      <c r="B9" s="16" t="inlineStr">
        <is>
          <t>Marcenaria 3 Irmãos</t>
        </is>
      </c>
      <c r="C9" s="11" t="inlineStr">
        <is>
          <t>Não localizado nas buscas</t>
        </is>
      </c>
      <c r="D9" s="16" t="inlineStr">
        <is>
          <t>marcenaria3irmaos.site.com.br</t>
        </is>
      </c>
      <c r="E9" s="18" t="inlineStr">
        <is>
          <t>Não Contatado</t>
        </is>
      </c>
      <c r="F9" s="10" t="inlineStr"/>
    </row>
    <row r="10" ht="20" customHeight="1">
      <c r="A10" s="19" t="n">
        <v>6</v>
      </c>
      <c r="B10" s="20" t="inlineStr">
        <is>
          <t>Italínea Daz (rede nacional)</t>
        </is>
      </c>
      <c r="C10" s="19" t="inlineStr">
        <is>
          <t>Não localizado nas buscas</t>
        </is>
      </c>
      <c r="D10" s="20" t="inlineStr">
        <is>
          <t>italineadaz.com.br</t>
        </is>
      </c>
      <c r="E10" s="22" t="inlineStr">
        <is>
          <t>Não Contatado</t>
        </is>
      </c>
      <c r="F10" s="23" t="inlineStr"/>
    </row>
    <row r="11" ht="20" customHeight="1">
      <c r="A11" s="11" t="n">
        <v>7</v>
      </c>
      <c r="B11" s="16" t="inlineStr">
        <is>
          <t>Imoplan Móveis Planejados</t>
        </is>
      </c>
      <c r="C11" s="11" t="inlineStr">
        <is>
          <t>Não localizado nas buscas</t>
        </is>
      </c>
      <c r="D11" s="16" t="inlineStr">
        <is>
          <t>imoplan.ueniweb.com</t>
        </is>
      </c>
      <c r="E11" s="18" t="inlineStr">
        <is>
          <t>Não Contatado</t>
        </is>
      </c>
      <c r="F11" s="10" t="inlineStr"/>
    </row>
    <row r="12" ht="20" customHeight="1">
      <c r="A12" s="19" t="n">
        <v>8</v>
      </c>
      <c r="B12" s="20" t="inlineStr">
        <is>
          <t>União Mobile</t>
        </is>
      </c>
      <c r="C12" s="19" t="inlineStr">
        <is>
          <t>Não localizado nas buscas</t>
        </is>
      </c>
      <c r="D12" s="20" t="inlineStr">
        <is>
          <t>uniaomobile.com.br</t>
        </is>
      </c>
      <c r="E12" s="22" t="inlineStr">
        <is>
          <t>Não Contatado</t>
        </is>
      </c>
      <c r="F12" s="23" t="inlineStr"/>
    </row>
    <row r="13" ht="20" customHeight="1">
      <c r="A13" s="11" t="n">
        <v>9</v>
      </c>
      <c r="B13" s="16" t="inlineStr">
        <is>
          <t>Atalaia Móveis Planejados</t>
        </is>
      </c>
      <c r="C13" s="11" t="inlineStr">
        <is>
          <t>Não localizado nas buscas</t>
        </is>
      </c>
      <c r="D13" s="16" t="inlineStr">
        <is>
          <t>Bairro Alto Umuarama · Mais de 20 anos no mercado</t>
        </is>
      </c>
      <c r="E13" s="18" t="inlineStr">
        <is>
          <t>Não Contatado</t>
        </is>
      </c>
      <c r="F13" s="10" t="inlineStr"/>
    </row>
    <row r="14" ht="20" customHeight="1">
      <c r="A14" s="19" t="n">
        <v>10</v>
      </c>
      <c r="B14" s="20" t="inlineStr">
        <is>
          <t>Marcenaria Nova Art</t>
        </is>
      </c>
      <c r="C14" s="19" t="inlineStr">
        <is>
          <t>Não localizado nas buscas</t>
        </is>
      </c>
      <c r="D14" s="20" t="inlineStr">
        <is>
          <t>Av. Dr. Laérte Vieira Gonçalves, 2014 - Santa Mônica</t>
        </is>
      </c>
      <c r="E14" s="22" t="inlineStr">
        <is>
          <t>Não Contatado</t>
        </is>
      </c>
      <c r="F14" s="23" t="inlineStr"/>
    </row>
    <row r="15" ht="20" customHeight="1">
      <c r="A15" s="11" t="n">
        <v>11</v>
      </c>
      <c r="B15" s="16" t="inlineStr">
        <is>
          <t>M &amp; S Marcenaria Ltda</t>
        </is>
      </c>
      <c r="C15" s="11" t="inlineStr">
        <is>
          <t>(34) 3212-**** (fixo, parcial)</t>
        </is>
      </c>
      <c r="D15" s="16" t="inlineStr">
        <is>
          <t>Rua João Balbino, 1465 - Santa Mônica</t>
        </is>
      </c>
      <c r="E15" s="18" t="inlineStr">
        <is>
          <t>Não Contatado</t>
        </is>
      </c>
      <c r="F15" s="10" t="inlineStr"/>
    </row>
    <row r="16" ht="20" customHeight="1">
      <c r="A16" s="19" t="n">
        <v>12</v>
      </c>
      <c r="B16" s="20" t="inlineStr">
        <is>
          <t>M.s Marcenaria</t>
        </is>
      </c>
      <c r="C16" s="19" t="inlineStr">
        <is>
          <t>Não localizado nas buscas</t>
        </is>
      </c>
      <c r="D16" s="20" t="inlineStr">
        <is>
          <t>Av. Edgard De Oliveira Castro, 50 - Conj. Alvorada</t>
        </is>
      </c>
      <c r="E16" s="22" t="inlineStr">
        <is>
          <t>Não Contatado</t>
        </is>
      </c>
      <c r="F16" s="23" t="inlineStr"/>
    </row>
    <row r="17" ht="20" customHeight="1">
      <c r="A17" s="11" t="n">
        <v>13</v>
      </c>
      <c r="B17" s="16" t="inlineStr">
        <is>
          <t>Marcenaria Moderna</t>
        </is>
      </c>
      <c r="C17" s="11" t="inlineStr">
        <is>
          <t>Não localizado nas buscas</t>
        </is>
      </c>
      <c r="D17" s="16" t="inlineStr">
        <is>
          <t>Rua Nêgo Amâncio, 719 - Jardim Patrícia</t>
        </is>
      </c>
      <c r="E17" s="18" t="inlineStr">
        <is>
          <t>Não Contatado</t>
        </is>
      </c>
      <c r="F17" s="10" t="inlineStr"/>
    </row>
  </sheetData>
  <dataValidations count="1">
    <dataValidation sqref="E5 E6 E7 E8 E9 E10 E11 E12 E13 E14 E15 E16 E17 F5 F6 F7 F8 F9 F10 F11 F12 F13 F14 F15" showDropDown="0" showInputMessage="0" showErrorMessage="0" allowBlank="1" type="list">
      <formula1>"Não Contatado, Mensagem Enviada, Em Negociação, Reunião Agendada, Sem Interesse, Fechado"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2026-07-20T13:20:05Z</dcterms:created>
  <dcterms:modified xmlns:dcterms="http://purl.org/dc/terms/" xmlns:xsi="http://www.w3.org/2001/XMLSchema-instance" xsi:type="dcterms:W3CDTF">2026-07-20T13:20:05Z</dcterms:modified>
</cp:coreProperties>
</file>